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col\Documents\ecam\AIP\outils\"/>
    </mc:Choice>
  </mc:AlternateContent>
  <xr:revisionPtr revIDLastSave="0" documentId="8_{932F302A-749E-4E75-A124-45A8C13DE1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para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E24" i="1"/>
  <c r="D24" i="1"/>
  <c r="F22" i="1"/>
  <c r="E22" i="1"/>
  <c r="D22" i="1"/>
  <c r="C20" i="1"/>
  <c r="F25" i="1" l="1"/>
  <c r="F23" i="1"/>
  <c r="E25" i="1"/>
  <c r="D25" i="1"/>
  <c r="E23" i="1"/>
  <c r="D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2" authorId="0" shapeId="0" xr:uid="{00000000-0006-0000-0000-000001000000}">
      <text>
        <r>
          <rPr>
            <sz val="10"/>
            <rFont val="Arial"/>
            <family val="2"/>
          </rPr>
          <t>Σ(pondération × note) / Σ(pondérations des critères notés)</t>
        </r>
      </text>
    </comment>
    <comment ref="A23" authorId="0" shapeId="0" xr:uid="{00000000-0006-0000-0000-000002000000}">
      <text>
        <r>
          <rPr>
            <sz val="10"/>
            <rFont val="Arial"/>
            <family val="2"/>
          </rPr>
          <t>√[ Σ pondération × (note − moyenne)² / Σ pondérations ]
Mesure la régularité de la solution : faible = notes homogènes entre critères.</t>
        </r>
      </text>
    </comment>
  </commentList>
</comments>
</file>

<file path=xl/sharedStrings.xml><?xml version="1.0" encoding="utf-8"?>
<sst xmlns="http://schemas.openxmlformats.org/spreadsheetml/2006/main" count="33" uniqueCount="33">
  <si>
    <t>Tableau comparatif des solutions – critères pondérés</t>
  </si>
  <si>
    <t>Cellules jaunes à compléter : noms des solutions et notes de 0 à 10. Les cellules vides sont ignorées dans les calculs.</t>
  </si>
  <si>
    <t>Note [0–10]</t>
  </si>
  <si>
    <t>N°</t>
  </si>
  <si>
    <t>Critère</t>
  </si>
  <si>
    <t>Pondération</t>
  </si>
  <si>
    <t>Solution 3</t>
  </si>
  <si>
    <t>Détection des trous</t>
  </si>
  <si>
    <t>Détection des taches</t>
  </si>
  <si>
    <t>Détection des points durs</t>
  </si>
  <si>
    <t>Détection du sens du tissu</t>
  </si>
  <si>
    <t>Positionnement du patron et optimisation</t>
  </si>
  <si>
    <t>Temps gagné</t>
  </si>
  <si>
    <t>Perte de tissu</t>
  </si>
  <si>
    <t>Prix</t>
  </si>
  <si>
    <t>Faisabilité</t>
  </si>
  <si>
    <t>Main-d'œuvre nécessaire</t>
  </si>
  <si>
    <t>Qualité de coupe</t>
  </si>
  <si>
    <t>Erreurs de découpe</t>
  </si>
  <si>
    <t>Lissage</t>
  </si>
  <si>
    <t>Maintenance</t>
  </si>
  <si>
    <t>Ergonomie (prise en main utilisateur)</t>
  </si>
  <si>
    <t>Total pondération</t>
  </si>
  <si>
    <t>Moyenne pondérée /10</t>
  </si>
  <si>
    <t>Écart type pondéré</t>
  </si>
  <si>
    <t>Nombre de critères notés</t>
  </si>
  <si>
    <t>Classement</t>
  </si>
  <si>
    <t>Pondérations reprises du tableau de critères défini par l'équipe.</t>
  </si>
  <si>
    <t>Solution 1 rouge</t>
  </si>
  <si>
    <t>rouge= aspiratio, vapeur, cam, logiciel, cnc(laser)</t>
  </si>
  <si>
    <t>Solution 2 bleu</t>
  </si>
  <si>
    <t>bleu = cadre, rouleau, camera,lagiciel( projection), humain ciseaux</t>
  </si>
  <si>
    <t xml:space="preserve">3 =aimant, press, camera, logiciel(proj), press(moule gateau),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</si>
</sst>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2" fontId="4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9" sqref="D19"/>
    </sheetView>
  </sheetViews>
  <sheetFormatPr baseColWidth="10" defaultColWidth="8.6640625" defaultRowHeight="14.4" x14ac:dyDescent="0.3"/>
  <cols>
    <col min="1" max="1" width="5" customWidth="1"/>
    <col min="2" max="2" width="40" customWidth="1"/>
    <col min="3" max="3" width="13" customWidth="1"/>
    <col min="4" max="6" width="14" customWidth="1"/>
  </cols>
  <sheetData>
    <row r="1" spans="1:6" ht="17.399999999999999" x14ac:dyDescent="0.3">
      <c r="A1" s="3" t="s">
        <v>0</v>
      </c>
    </row>
    <row r="2" spans="1:6" x14ac:dyDescent="0.3">
      <c r="A2" s="4" t="s">
        <v>1</v>
      </c>
    </row>
    <row r="3" spans="1:6" ht="15" customHeight="1" x14ac:dyDescent="0.3">
      <c r="D3" s="2" t="s">
        <v>2</v>
      </c>
      <c r="E3" s="2"/>
      <c r="F3" s="2"/>
    </row>
    <row r="4" spans="1:6" ht="30.6" customHeight="1" x14ac:dyDescent="0.3">
      <c r="A4" s="5" t="s">
        <v>3</v>
      </c>
      <c r="B4" s="5" t="s">
        <v>4</v>
      </c>
      <c r="C4" s="5" t="s">
        <v>5</v>
      </c>
      <c r="D4" s="6" t="s">
        <v>28</v>
      </c>
      <c r="E4" s="6" t="s">
        <v>30</v>
      </c>
      <c r="F4" s="6" t="s">
        <v>6</v>
      </c>
    </row>
    <row r="5" spans="1:6" x14ac:dyDescent="0.3">
      <c r="A5" s="7">
        <v>1</v>
      </c>
      <c r="B5" s="8" t="s">
        <v>7</v>
      </c>
      <c r="C5" s="9">
        <v>4</v>
      </c>
      <c r="D5" s="10">
        <v>8</v>
      </c>
      <c r="E5" s="10">
        <v>8</v>
      </c>
      <c r="F5" s="10">
        <v>8</v>
      </c>
    </row>
    <row r="6" spans="1:6" x14ac:dyDescent="0.3">
      <c r="A6" s="7">
        <v>2</v>
      </c>
      <c r="B6" s="8" t="s">
        <v>8</v>
      </c>
      <c r="C6" s="9">
        <v>4</v>
      </c>
      <c r="D6" s="10">
        <v>8</v>
      </c>
      <c r="E6" s="10">
        <v>8</v>
      </c>
      <c r="F6" s="10">
        <v>8</v>
      </c>
    </row>
    <row r="7" spans="1:6" x14ac:dyDescent="0.3">
      <c r="A7" s="7">
        <v>3</v>
      </c>
      <c r="B7" s="8" t="s">
        <v>9</v>
      </c>
      <c r="C7" s="9">
        <v>3</v>
      </c>
      <c r="D7" s="10">
        <v>8</v>
      </c>
      <c r="E7" s="10">
        <v>8</v>
      </c>
      <c r="F7" s="10">
        <v>8</v>
      </c>
    </row>
    <row r="8" spans="1:6" x14ac:dyDescent="0.3">
      <c r="A8" s="7">
        <v>4</v>
      </c>
      <c r="B8" s="8" t="s">
        <v>10</v>
      </c>
      <c r="C8" s="9">
        <v>2</v>
      </c>
      <c r="D8" s="10">
        <v>7</v>
      </c>
      <c r="E8" s="10">
        <v>7</v>
      </c>
      <c r="F8" s="10">
        <v>7</v>
      </c>
    </row>
    <row r="9" spans="1:6" x14ac:dyDescent="0.3">
      <c r="A9" s="7">
        <v>5</v>
      </c>
      <c r="B9" s="8" t="s">
        <v>11</v>
      </c>
      <c r="C9" s="9">
        <v>5</v>
      </c>
      <c r="D9" s="10">
        <v>10</v>
      </c>
      <c r="E9" s="10">
        <v>10</v>
      </c>
      <c r="F9" s="10">
        <v>10</v>
      </c>
    </row>
    <row r="10" spans="1:6" x14ac:dyDescent="0.3">
      <c r="A10" s="7">
        <v>6</v>
      </c>
      <c r="B10" s="8" t="s">
        <v>12</v>
      </c>
      <c r="C10" s="9">
        <v>5</v>
      </c>
      <c r="D10" s="10">
        <v>8</v>
      </c>
      <c r="E10" s="10">
        <v>5</v>
      </c>
      <c r="F10" s="10">
        <v>6</v>
      </c>
    </row>
    <row r="11" spans="1:6" x14ac:dyDescent="0.3">
      <c r="A11" s="7">
        <v>7</v>
      </c>
      <c r="B11" s="8" t="s">
        <v>13</v>
      </c>
      <c r="C11" s="9">
        <v>2</v>
      </c>
      <c r="D11" s="10">
        <v>8</v>
      </c>
      <c r="E11" s="10">
        <v>7</v>
      </c>
      <c r="F11" s="10">
        <v>7</v>
      </c>
    </row>
    <row r="12" spans="1:6" x14ac:dyDescent="0.3">
      <c r="A12" s="7">
        <v>8</v>
      </c>
      <c r="B12" s="8" t="s">
        <v>14</v>
      </c>
      <c r="C12" s="9">
        <v>3</v>
      </c>
      <c r="D12" s="10">
        <v>2</v>
      </c>
      <c r="E12" s="10">
        <v>7</v>
      </c>
      <c r="F12" s="10">
        <v>5</v>
      </c>
    </row>
    <row r="13" spans="1:6" x14ac:dyDescent="0.3">
      <c r="A13" s="7">
        <v>9</v>
      </c>
      <c r="B13" s="8" t="s">
        <v>15</v>
      </c>
      <c r="C13" s="9">
        <v>2</v>
      </c>
      <c r="D13" s="10">
        <v>4</v>
      </c>
      <c r="E13" s="10">
        <v>7</v>
      </c>
      <c r="F13" s="10">
        <v>5</v>
      </c>
    </row>
    <row r="14" spans="1:6" x14ac:dyDescent="0.3">
      <c r="A14" s="7">
        <v>10</v>
      </c>
      <c r="B14" s="8" t="s">
        <v>16</v>
      </c>
      <c r="C14" s="9">
        <v>2</v>
      </c>
      <c r="D14" s="10">
        <v>7</v>
      </c>
      <c r="E14" s="10">
        <v>3</v>
      </c>
      <c r="F14" s="10">
        <v>5</v>
      </c>
    </row>
    <row r="15" spans="1:6" x14ac:dyDescent="0.3">
      <c r="A15" s="7">
        <v>11</v>
      </c>
      <c r="B15" s="8" t="s">
        <v>17</v>
      </c>
      <c r="C15" s="9">
        <v>3</v>
      </c>
      <c r="D15" s="10">
        <v>9</v>
      </c>
      <c r="E15" s="10">
        <v>5</v>
      </c>
      <c r="F15" s="10">
        <v>7</v>
      </c>
    </row>
    <row r="16" spans="1:6" x14ac:dyDescent="0.3">
      <c r="A16" s="7">
        <v>12</v>
      </c>
      <c r="B16" s="8" t="s">
        <v>18</v>
      </c>
      <c r="C16" s="9">
        <v>1</v>
      </c>
      <c r="D16" s="10">
        <v>5</v>
      </c>
      <c r="E16" s="10">
        <v>7</v>
      </c>
      <c r="F16" s="10">
        <v>7</v>
      </c>
    </row>
    <row r="17" spans="1:6" x14ac:dyDescent="0.3">
      <c r="A17" s="7">
        <v>13</v>
      </c>
      <c r="B17" s="8" t="s">
        <v>19</v>
      </c>
      <c r="C17" s="9">
        <v>1</v>
      </c>
      <c r="D17" s="10">
        <v>7</v>
      </c>
      <c r="E17" s="10">
        <v>5</v>
      </c>
      <c r="F17" s="10">
        <v>8</v>
      </c>
    </row>
    <row r="18" spans="1:6" x14ac:dyDescent="0.3">
      <c r="A18" s="7">
        <v>14</v>
      </c>
      <c r="B18" s="8" t="s">
        <v>20</v>
      </c>
      <c r="C18" s="9">
        <v>3</v>
      </c>
      <c r="D18" s="10">
        <v>1</v>
      </c>
      <c r="E18" s="10">
        <v>7</v>
      </c>
      <c r="F18" s="10">
        <v>4</v>
      </c>
    </row>
    <row r="19" spans="1:6" x14ac:dyDescent="0.3">
      <c r="A19" s="7">
        <v>15</v>
      </c>
      <c r="B19" s="8" t="s">
        <v>21</v>
      </c>
      <c r="C19" s="9">
        <v>3</v>
      </c>
      <c r="D19" s="10">
        <v>8</v>
      </c>
      <c r="E19" s="10">
        <v>8</v>
      </c>
      <c r="F19" s="10">
        <v>8</v>
      </c>
    </row>
    <row r="20" spans="1:6" x14ac:dyDescent="0.3">
      <c r="A20" s="11"/>
      <c r="B20" s="12" t="s">
        <v>22</v>
      </c>
      <c r="C20" s="11">
        <f>SUM(C5:C19)</f>
        <v>43</v>
      </c>
      <c r="D20" s="11"/>
      <c r="E20" s="11"/>
      <c r="F20" s="11"/>
    </row>
    <row r="22" spans="1:6" x14ac:dyDescent="0.3">
      <c r="A22" s="1" t="s">
        <v>23</v>
      </c>
      <c r="B22" s="1"/>
      <c r="C22" s="1"/>
      <c r="D22" s="13">
        <f>IF(COUNT(D$5:D$19)=0,"",SUMPRODUCT($C$5:$C$19,D$5:D$19)/SUMIF(D$5:D$19,"&lt;&gt;",$C$5:$C$19))</f>
        <v>7.0232558139534884</v>
      </c>
      <c r="E22" s="13">
        <f>IF(COUNT(E$5:E$19)=0,"",SUMPRODUCT($C$5:$C$19,E$5:E$19)/SUMIF(E$5:E$19,"&lt;&gt;",$C$5:$C$19))</f>
        <v>7.0697674418604652</v>
      </c>
      <c r="F22" s="13">
        <f>IF(COUNT(F$5:F$19)=0,"",SUMPRODUCT($C$5:$C$19,F$5:F$19)/SUMIF(F$5:F$19,"&lt;&gt;",$C$5:$C$19))</f>
        <v>7.0465116279069768</v>
      </c>
    </row>
    <row r="23" spans="1:6" x14ac:dyDescent="0.3">
      <c r="A23" s="1" t="s">
        <v>24</v>
      </c>
      <c r="B23" s="1"/>
      <c r="C23" s="1"/>
      <c r="D23" s="14">
        <f>IF(COUNT(D$5:D$19)=0,"",SQRT(SUMPRODUCT((D$5:D$19&lt;&gt;"")*$C$5:$C$19*(D$5:D$19-D22)^2)/SUMIF(D$5:D$19,"&lt;&gt;",$C$5:$C$19)))</f>
        <v>2.5653176247698002</v>
      </c>
      <c r="E23" s="14">
        <f>IF(COUNT(E$5:E$19)=0,"",SQRT(SUMPRODUCT((E$5:E$19&lt;&gt;"")*$C$5:$C$19*(E$5:E$19-E22)^2)/SUMIF(E$5:E$19,"&lt;&gt;",$C$5:$C$19)))</f>
        <v>1.7171548783232309</v>
      </c>
      <c r="F23" s="14">
        <f>IF(COUNT(F$5:F$19)=0,"",SQRT(SUMPRODUCT((F$5:F$19&lt;&gt;"")*$C$5:$C$19*(F$5:F$19-F22)^2)/SUMIF(F$5:F$19,"&lt;&gt;",$C$5:$C$19)))</f>
        <v>1.6698905182340689</v>
      </c>
    </row>
    <row r="24" spans="1:6" x14ac:dyDescent="0.3">
      <c r="A24" s="1" t="s">
        <v>25</v>
      </c>
      <c r="B24" s="1"/>
      <c r="C24" s="1"/>
      <c r="D24" s="15" t="str">
        <f>COUNT(D$5:D$19)&amp;" / 15"</f>
        <v>15 / 15</v>
      </c>
      <c r="E24" s="15" t="str">
        <f>COUNT(E$5:E$19)&amp;" / 15"</f>
        <v>15 / 15</v>
      </c>
      <c r="F24" s="15" t="str">
        <f>COUNT(F$5:F$19)&amp;" / 15"</f>
        <v>15 / 15</v>
      </c>
    </row>
    <row r="25" spans="1:6" x14ac:dyDescent="0.3">
      <c r="A25" s="1" t="s">
        <v>26</v>
      </c>
      <c r="B25" s="1"/>
      <c r="C25" s="1"/>
      <c r="D25" s="16">
        <f>IF(D22="","",RANK(D22,$D$22:$F$22,0))</f>
        <v>3</v>
      </c>
      <c r="E25" s="16">
        <f>IF(E22="","",RANK(E22,$D$22:$F$22,0))</f>
        <v>1</v>
      </c>
      <c r="F25" s="16">
        <f>IF(F22="","",RANK(F22,$D$22:$F$22,0))</f>
        <v>2</v>
      </c>
    </row>
    <row r="27" spans="1:6" x14ac:dyDescent="0.3">
      <c r="A27" s="4" t="s">
        <v>27</v>
      </c>
    </row>
    <row r="30" spans="1:6" x14ac:dyDescent="0.3">
      <c r="D30" t="s">
        <v>29</v>
      </c>
    </row>
    <row r="31" spans="1:6" x14ac:dyDescent="0.3">
      <c r="D31" t="s">
        <v>31</v>
      </c>
    </row>
    <row r="32" spans="1:6" x14ac:dyDescent="0.3">
      <c r="D32" t="s">
        <v>32</v>
      </c>
    </row>
  </sheetData>
  <mergeCells count="5">
    <mergeCell ref="D3:F3"/>
    <mergeCell ref="A22:C22"/>
    <mergeCell ref="A23:C23"/>
    <mergeCell ref="A24:C24"/>
    <mergeCell ref="A25:C25"/>
  </mergeCells>
  <conditionalFormatting sqref="D22:F22">
    <cfRule type="expression" dxfId="0" priority="2">
      <formula>AND(D22&lt;&gt;"",D22=MAX($D$22:$F$22))</formula>
    </cfRule>
  </conditionalFormatting>
  <dataValidations count="1">
    <dataValidation type="decimal" allowBlank="1" showErrorMessage="1" errorTitle="Note invalide" error="Entrez une note entre 0 et 10." sqref="D5:F19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Geerts</cp:lastModifiedBy>
  <cp:revision>0</cp:revision>
  <dcterms:created xsi:type="dcterms:W3CDTF">2026-10-08T08:08:12Z</dcterms:created>
  <dcterms:modified xsi:type="dcterms:W3CDTF">2026-10-08T09:09:26Z</dcterms:modified>
  <dc:language>en-US</dc:language>
</cp:coreProperties>
</file>